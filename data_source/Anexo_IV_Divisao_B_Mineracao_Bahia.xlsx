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visão B - Mineração" sheetId="1" r:id="rId5"/>
    <sheet state="visible" name="Matriz Porte x PP (Art. 109)" sheetId="2" r:id="rId6"/>
  </sheets>
  <definedNames/>
  <calcPr/>
</workbook>
</file>

<file path=xl/sharedStrings.xml><?xml version="1.0" encoding="utf-8"?>
<sst xmlns="http://schemas.openxmlformats.org/spreadsheetml/2006/main" count="201" uniqueCount="94">
  <si>
    <t>PORTE \ POTENCIAL POLUIDOR</t>
  </si>
  <si>
    <t>CÓDIGO</t>
  </si>
  <si>
    <t>Pequeno (P)</t>
  </si>
  <si>
    <t>TIPOLOGIA</t>
  </si>
  <si>
    <t>Médio (M)</t>
  </si>
  <si>
    <t>UNIDADE DE MEDIDA DE PORTE</t>
  </si>
  <si>
    <t>Alto (A)</t>
  </si>
  <si>
    <t>PORTE PEQUENO</t>
  </si>
  <si>
    <t>Pequeno</t>
  </si>
  <si>
    <t>PORTE MÉDIO</t>
  </si>
  <si>
    <t>PORTE GRANDE</t>
  </si>
  <si>
    <t>Classe 1</t>
  </si>
  <si>
    <t>POTENCIAL POLUIDOR</t>
  </si>
  <si>
    <t>Classe 2</t>
  </si>
  <si>
    <t>CLASSE (Pequeno)</t>
  </si>
  <si>
    <t>Classe 4</t>
  </si>
  <si>
    <t>CLASSE (Médio)</t>
  </si>
  <si>
    <t>Médio</t>
  </si>
  <si>
    <t>CLASSE (Grande)</t>
  </si>
  <si>
    <t>Classe 3</t>
  </si>
  <si>
    <t>Grupo B1: Minerais Metálicos e Não Metálicos</t>
  </si>
  <si>
    <t>Classe 5</t>
  </si>
  <si>
    <t>Grande</t>
  </si>
  <si>
    <t>Classe 6</t>
  </si>
  <si>
    <t>B1.1 Minerais metálicos</t>
  </si>
  <si>
    <t>B1.1.1</t>
  </si>
  <si>
    <t>Ferro</t>
  </si>
  <si>
    <t>Produção Bruta de Minério (t/Ano)</t>
  </si>
  <si>
    <t>&lt; 300.000</t>
  </si>
  <si>
    <t>&gt;= 300.000 &lt; 1.500.000</t>
  </si>
  <si>
    <t>&gt;= 1.500.000</t>
  </si>
  <si>
    <t>A</t>
  </si>
  <si>
    <t>B1.1.2</t>
  </si>
  <si>
    <t>Manganês</t>
  </si>
  <si>
    <t>&lt; 100.000</t>
  </si>
  <si>
    <t>&gt;= 100.000 &lt; 500.000</t>
  </si>
  <si>
    <t>&gt;= 500.000</t>
  </si>
  <si>
    <t>B1.1.3</t>
  </si>
  <si>
    <t>Alumínio, Antimônio, Cádmio, Chumbo, Cobre, Cromo, Escândio, Estanho, Estrôncio, Frâncio, Gálio, Germânio, Háfnio, Índio, Irídio, Ítrio, Lítio, Molibdênio, Nióbio, Níquel, Ósmio, Ouro, Paládio, Platina, Prata, Ródio, Rubídio, Selênio, Tálio, Tântalo, Tecnécio, Titânio, Tungstênio, Vanádio, Zinco e Zircônio</t>
  </si>
  <si>
    <t>&lt; 50.000</t>
  </si>
  <si>
    <t>&gt;= 50.000 &lt; 500.000</t>
  </si>
  <si>
    <t>B1.2 Minerais Não Metálicos</t>
  </si>
  <si>
    <t>B1.2.1</t>
  </si>
  <si>
    <t>Criolita, Enxofre, Fluorita, Selênio, Silício, Silicatos e Telúrio</t>
  </si>
  <si>
    <t>&gt;= 100.000 &lt; 800.000</t>
  </si>
  <si>
    <t>&gt;= 800.000</t>
  </si>
  <si>
    <t>Grupo B2: Gemas ou Pedras Preciosas e Semi-Preciosas</t>
  </si>
  <si>
    <t>B2.1</t>
  </si>
  <si>
    <t>Ágata, Água Marinha, Alexandrita, Berilo, Calcedônia, Cianita, Citrino, Crisoberilo, Granada, Heliotrópio, Jacinto, Jade, Jaspe, Lápis-Lazúli, Lazurita, Olho de Tigre, Opala, Rubi, Safira, Topázio, Turmalina, Turquesa e outras</t>
  </si>
  <si>
    <t>&lt; 5.000</t>
  </si>
  <si>
    <t>&gt;= 5.000 &lt; 50.000</t>
  </si>
  <si>
    <t>&gt;= 50.000</t>
  </si>
  <si>
    <t>M</t>
  </si>
  <si>
    <t>B2.2</t>
  </si>
  <si>
    <t>Ametista, Diamante, Esmeralda</t>
  </si>
  <si>
    <t>&lt; 10.000</t>
  </si>
  <si>
    <t>&gt;= 10.000 &lt; 50.000</t>
  </si>
  <si>
    <t>Grupo B3: Minerais Utilizados na Construção Civil, Ornamentos e Outros</t>
  </si>
  <si>
    <t>B3.1</t>
  </si>
  <si>
    <t>Areias, Arenoso, Cascalhos, Filitos e Saibro</t>
  </si>
  <si>
    <t>&lt; 150.000</t>
  </si>
  <si>
    <t>&gt;= 150.000 &lt; 500.000</t>
  </si>
  <si>
    <t>B3.2</t>
  </si>
  <si>
    <t>Areias em Recursos Hídricos</t>
  </si>
  <si>
    <t>&lt; 75.000</t>
  </si>
  <si>
    <t>&gt;= 75.000 &lt; 150.000</t>
  </si>
  <si>
    <t>&gt;= 150.000</t>
  </si>
  <si>
    <t>B3.3</t>
  </si>
  <si>
    <t>Caulim</t>
  </si>
  <si>
    <t>B3.4</t>
  </si>
  <si>
    <t>Basalto, Calcários, Gnaisses, Granitos, Granulitos, Metarenitos, Quartzitos, Sienitos, Dentre Outras Utilizadas Para a Produção de Agregados e Beneficiamento Associado (Britamento)</t>
  </si>
  <si>
    <t>B3.5</t>
  </si>
  <si>
    <t>Ardósia, Dioritos, Granitos, Mármores, Quartzos, Sienitos, Dentre Outras Utilizadas Para Revestimento</t>
  </si>
  <si>
    <t>&gt;= 50.000 &lt; 150.000</t>
  </si>
  <si>
    <t>Grupo B4: Minerais Utilizados na Indústria</t>
  </si>
  <si>
    <t>B4.1</t>
  </si>
  <si>
    <t>Argilas, Caulinita, Diatomita, Ilita, Caulim Dentre Outros</t>
  </si>
  <si>
    <t>&lt; 60.000</t>
  </si>
  <si>
    <t>&gt;= 60.000 &lt; 150.000</t>
  </si>
  <si>
    <t>B4.2</t>
  </si>
  <si>
    <t>Cianita, Feldspato, Leucita, Moscovita, Nefelina, Quartzo e Turmalina, Dentre Outros, Para Manufatura de Vidro/Vitrificação, Esmaltação e Indústria óptica, Eletrônica, etc.</t>
  </si>
  <si>
    <t>(faixa não expressa na publicação oficial)</t>
  </si>
  <si>
    <t>&gt;= 200.000</t>
  </si>
  <si>
    <t>B4.3</t>
  </si>
  <si>
    <t>Apatita, Calcário Dolomítico, Calcita, Carnalita, Dolomita, Fosfatos, Minerais de Borato, Potássio, Salgema, Salitre, Silvita e Sódio, Dentre Outros, Para Produção de Fertilizantes e Corretivos Agrícolas, etc.</t>
  </si>
  <si>
    <t>B4.4</t>
  </si>
  <si>
    <t>Andalusita, Anfibólios, Caulinita, Coríndon, Feldspato, Grafita, Moscovita, Pegmatito, Quartzito, Serpentinito, Sílex, Vermiculita, Wollastonita, Xisto e Zirconita, Dentre Outros, Para Uso Industrial Não Especificado Anteriormente</t>
  </si>
  <si>
    <t>B4.5</t>
  </si>
  <si>
    <t>Anidrita, Barita, Bentonita, Calcário Conchífero, Calcário Calcítico, Calcita, Diatomita, Gipsita, Magnesita e Talco</t>
  </si>
  <si>
    <t>B4.6</t>
  </si>
  <si>
    <t>Amianto</t>
  </si>
  <si>
    <t>&lt; 20.000</t>
  </si>
  <si>
    <t>&gt;= 20.000 &lt; 300.000</t>
  </si>
  <si>
    <t>&gt;= 300.000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</si>
</sst>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/>
    <font>
      <b/>
      <sz val="9.0"/>
      <color theme="1"/>
      <name val="Arial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D9E2F3"/>
        <bgColor rgb="FFD9E2F3"/>
      </patternFill>
    </fill>
    <fill>
      <patternFill patternType="solid">
        <fgColor rgb="FFEDF1F9"/>
        <bgColor rgb="FFEDF1F9"/>
      </patternFill>
    </fill>
  </fills>
  <borders count="5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2" fillId="3" fontId="2" numFmtId="0" xfId="0" applyAlignment="1" applyBorder="1" applyFill="1" applyFont="1">
      <alignment horizontal="left" vertical="center"/>
    </xf>
    <xf borderId="3" fillId="0" fontId="4" numFmtId="0" xfId="0" applyBorder="1" applyFont="1"/>
    <xf borderId="4" fillId="0" fontId="4" numFmtId="0" xfId="0" applyBorder="1" applyFont="1"/>
    <xf borderId="2" fillId="4" fontId="2" numFmtId="0" xfId="0" applyAlignment="1" applyBorder="1" applyFill="1" applyFont="1">
      <alignment horizontal="left" vertical="center"/>
    </xf>
    <xf borderId="1" fillId="0" fontId="3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left" shrinkToFit="0" vertical="top" wrapText="1"/>
    </xf>
    <xf borderId="0" fillId="0" fontId="5" numFmtId="0" xfId="0" applyFont="1"/>
    <xf borderId="0" fillId="0" fontId="6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62.0"/>
    <col customWidth="1" min="3" max="3" width="30.57"/>
    <col customWidth="1" min="4" max="4" width="13.71"/>
    <col customWidth="1" min="5" max="5" width="25.0"/>
    <col customWidth="1" min="6" max="6" width="18.0"/>
    <col customWidth="1" min="7" max="7" width="14.0"/>
    <col customWidth="1" min="8" max="10" width="15.0"/>
    <col customWidth="1" min="11" max="26" width="8.71"/>
  </cols>
  <sheetData>
    <row r="1" ht="42.0" customHeight="1">
      <c r="A1" s="1" t="s">
        <v>1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</row>
    <row r="2">
      <c r="A2" s="4" t="s">
        <v>20</v>
      </c>
      <c r="B2" s="5"/>
      <c r="C2" s="5"/>
      <c r="D2" s="5"/>
      <c r="E2" s="5"/>
      <c r="F2" s="5"/>
      <c r="G2" s="5"/>
      <c r="H2" s="5"/>
      <c r="I2" s="5"/>
      <c r="J2" s="6"/>
    </row>
    <row r="3">
      <c r="A3" s="7" t="s">
        <v>24</v>
      </c>
      <c r="B3" s="5"/>
      <c r="C3" s="5"/>
      <c r="D3" s="5"/>
      <c r="E3" s="5"/>
      <c r="F3" s="5"/>
      <c r="G3" s="5"/>
      <c r="H3" s="5"/>
      <c r="I3" s="5"/>
      <c r="J3" s="6"/>
    </row>
    <row r="4">
      <c r="A4" s="8" t="s">
        <v>25</v>
      </c>
      <c r="B4" s="9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15</v>
      </c>
      <c r="I4" s="8" t="s">
        <v>21</v>
      </c>
      <c r="J4" s="8" t="s">
        <v>23</v>
      </c>
    </row>
    <row r="5">
      <c r="A5" s="8" t="s">
        <v>32</v>
      </c>
      <c r="B5" s="9" t="s">
        <v>33</v>
      </c>
      <c r="C5" s="8" t="s">
        <v>27</v>
      </c>
      <c r="D5" s="8" t="s">
        <v>34</v>
      </c>
      <c r="E5" s="8" t="s">
        <v>35</v>
      </c>
      <c r="F5" s="8" t="s">
        <v>36</v>
      </c>
      <c r="G5" s="8" t="s">
        <v>31</v>
      </c>
      <c r="H5" s="8" t="s">
        <v>15</v>
      </c>
      <c r="I5" s="8" t="s">
        <v>21</v>
      </c>
      <c r="J5" s="8" t="s">
        <v>23</v>
      </c>
    </row>
    <row r="6">
      <c r="A6" s="8" t="s">
        <v>37</v>
      </c>
      <c r="B6" s="9" t="s">
        <v>38</v>
      </c>
      <c r="C6" s="8" t="s">
        <v>27</v>
      </c>
      <c r="D6" s="8" t="s">
        <v>39</v>
      </c>
      <c r="E6" s="8" t="s">
        <v>40</v>
      </c>
      <c r="F6" s="8" t="s">
        <v>36</v>
      </c>
      <c r="G6" s="8" t="s">
        <v>31</v>
      </c>
      <c r="H6" s="8" t="s">
        <v>15</v>
      </c>
      <c r="I6" s="8" t="s">
        <v>21</v>
      </c>
      <c r="J6" s="8" t="s">
        <v>23</v>
      </c>
    </row>
    <row r="7">
      <c r="A7" s="7" t="s">
        <v>41</v>
      </c>
      <c r="B7" s="5"/>
      <c r="C7" s="5"/>
      <c r="D7" s="5"/>
      <c r="E7" s="5"/>
      <c r="F7" s="5"/>
      <c r="G7" s="5"/>
      <c r="H7" s="5"/>
      <c r="I7" s="5"/>
      <c r="J7" s="6"/>
    </row>
    <row r="8">
      <c r="A8" s="8" t="s">
        <v>42</v>
      </c>
      <c r="B8" s="9" t="s">
        <v>43</v>
      </c>
      <c r="C8" s="8" t="s">
        <v>27</v>
      </c>
      <c r="D8" s="8" t="s">
        <v>34</v>
      </c>
      <c r="E8" s="8" t="s">
        <v>44</v>
      </c>
      <c r="F8" s="8" t="s">
        <v>45</v>
      </c>
      <c r="G8" s="8" t="s">
        <v>31</v>
      </c>
      <c r="H8" s="8" t="s">
        <v>15</v>
      </c>
      <c r="I8" s="8" t="s">
        <v>21</v>
      </c>
      <c r="J8" s="8" t="s">
        <v>23</v>
      </c>
    </row>
    <row r="9">
      <c r="A9" s="4" t="s">
        <v>46</v>
      </c>
      <c r="B9" s="5"/>
      <c r="C9" s="5"/>
      <c r="D9" s="5"/>
      <c r="E9" s="5"/>
      <c r="F9" s="5"/>
      <c r="G9" s="5"/>
      <c r="H9" s="5"/>
      <c r="I9" s="5"/>
      <c r="J9" s="6"/>
    </row>
    <row r="10">
      <c r="A10" s="8" t="s">
        <v>47</v>
      </c>
      <c r="B10" s="9" t="s">
        <v>48</v>
      </c>
      <c r="C10" s="8" t="s">
        <v>27</v>
      </c>
      <c r="D10" s="8" t="s">
        <v>49</v>
      </c>
      <c r="E10" s="8" t="s">
        <v>50</v>
      </c>
      <c r="F10" s="8" t="s">
        <v>51</v>
      </c>
      <c r="G10" s="8" t="s">
        <v>52</v>
      </c>
      <c r="H10" s="8" t="s">
        <v>13</v>
      </c>
      <c r="I10" s="8" t="s">
        <v>19</v>
      </c>
      <c r="J10" s="8" t="s">
        <v>21</v>
      </c>
    </row>
    <row r="11">
      <c r="A11" s="8" t="s">
        <v>53</v>
      </c>
      <c r="B11" s="9" t="s">
        <v>54</v>
      </c>
      <c r="C11" s="8" t="s">
        <v>27</v>
      </c>
      <c r="D11" s="8" t="s">
        <v>55</v>
      </c>
      <c r="E11" s="8" t="s">
        <v>56</v>
      </c>
      <c r="F11" s="8" t="s">
        <v>51</v>
      </c>
      <c r="G11" s="8" t="s">
        <v>31</v>
      </c>
      <c r="H11" s="8" t="s">
        <v>15</v>
      </c>
      <c r="I11" s="8" t="s">
        <v>21</v>
      </c>
      <c r="J11" s="8" t="s">
        <v>23</v>
      </c>
    </row>
    <row r="12">
      <c r="A12" s="4" t="s">
        <v>57</v>
      </c>
      <c r="B12" s="5"/>
      <c r="C12" s="5"/>
      <c r="D12" s="5"/>
      <c r="E12" s="5"/>
      <c r="F12" s="5"/>
      <c r="G12" s="5"/>
      <c r="H12" s="5"/>
      <c r="I12" s="5"/>
      <c r="J12" s="6"/>
    </row>
    <row r="13">
      <c r="A13" s="8" t="s">
        <v>58</v>
      </c>
      <c r="B13" s="9" t="s">
        <v>59</v>
      </c>
      <c r="C13" s="8" t="s">
        <v>27</v>
      </c>
      <c r="D13" s="8" t="s">
        <v>60</v>
      </c>
      <c r="E13" s="8" t="s">
        <v>61</v>
      </c>
      <c r="F13" s="8" t="s">
        <v>36</v>
      </c>
      <c r="G13" s="8" t="s">
        <v>52</v>
      </c>
      <c r="H13" s="8" t="s">
        <v>13</v>
      </c>
      <c r="I13" s="8" t="s">
        <v>19</v>
      </c>
      <c r="J13" s="8" t="s">
        <v>21</v>
      </c>
    </row>
    <row r="14">
      <c r="A14" s="8" t="s">
        <v>62</v>
      </c>
      <c r="B14" s="9" t="s">
        <v>63</v>
      </c>
      <c r="C14" s="8" t="s">
        <v>27</v>
      </c>
      <c r="D14" s="8" t="s">
        <v>64</v>
      </c>
      <c r="E14" s="8" t="s">
        <v>65</v>
      </c>
      <c r="F14" s="8" t="s">
        <v>66</v>
      </c>
      <c r="G14" s="8" t="s">
        <v>52</v>
      </c>
      <c r="H14" s="8" t="s">
        <v>13</v>
      </c>
      <c r="I14" s="8" t="s">
        <v>19</v>
      </c>
      <c r="J14" s="8" t="s">
        <v>21</v>
      </c>
    </row>
    <row r="15">
      <c r="A15" s="8" t="s">
        <v>67</v>
      </c>
      <c r="B15" s="9" t="s">
        <v>68</v>
      </c>
      <c r="C15" s="8" t="s">
        <v>27</v>
      </c>
      <c r="D15" s="8" t="s">
        <v>34</v>
      </c>
      <c r="E15" s="8" t="s">
        <v>35</v>
      </c>
      <c r="F15" s="8" t="s">
        <v>36</v>
      </c>
      <c r="G15" s="8" t="s">
        <v>31</v>
      </c>
      <c r="H15" s="8" t="s">
        <v>15</v>
      </c>
      <c r="I15" s="8" t="s">
        <v>21</v>
      </c>
      <c r="J15" s="8" t="s">
        <v>23</v>
      </c>
    </row>
    <row r="16">
      <c r="A16" s="8" t="s">
        <v>69</v>
      </c>
      <c r="B16" s="9" t="s">
        <v>70</v>
      </c>
      <c r="C16" s="8" t="s">
        <v>27</v>
      </c>
      <c r="D16" s="8" t="s">
        <v>34</v>
      </c>
      <c r="E16" s="8" t="s">
        <v>35</v>
      </c>
      <c r="F16" s="8" t="s">
        <v>36</v>
      </c>
      <c r="G16" s="8" t="s">
        <v>52</v>
      </c>
      <c r="H16" s="8" t="s">
        <v>13</v>
      </c>
      <c r="I16" s="8" t="s">
        <v>19</v>
      </c>
      <c r="J16" s="8" t="s">
        <v>21</v>
      </c>
    </row>
    <row r="17" ht="15.75" customHeight="1">
      <c r="A17" s="8" t="s">
        <v>71</v>
      </c>
      <c r="B17" s="9" t="s">
        <v>72</v>
      </c>
      <c r="C17" s="8" t="s">
        <v>27</v>
      </c>
      <c r="D17" s="8" t="s">
        <v>39</v>
      </c>
      <c r="E17" s="8" t="s">
        <v>73</v>
      </c>
      <c r="F17" s="8" t="s">
        <v>66</v>
      </c>
      <c r="G17" s="8" t="s">
        <v>31</v>
      </c>
      <c r="H17" s="8" t="s">
        <v>15</v>
      </c>
      <c r="I17" s="8" t="s">
        <v>21</v>
      </c>
      <c r="J17" s="8" t="s">
        <v>23</v>
      </c>
    </row>
    <row r="18" ht="15.75" customHeight="1">
      <c r="A18" s="4" t="s">
        <v>74</v>
      </c>
      <c r="B18" s="5"/>
      <c r="C18" s="5"/>
      <c r="D18" s="5"/>
      <c r="E18" s="5"/>
      <c r="F18" s="5"/>
      <c r="G18" s="5"/>
      <c r="H18" s="5"/>
      <c r="I18" s="5"/>
      <c r="J18" s="6"/>
    </row>
    <row r="19" ht="15.75" customHeight="1">
      <c r="A19" s="8" t="s">
        <v>75</v>
      </c>
      <c r="B19" s="9" t="s">
        <v>76</v>
      </c>
      <c r="C19" s="8" t="s">
        <v>27</v>
      </c>
      <c r="D19" s="8" t="s">
        <v>77</v>
      </c>
      <c r="E19" s="8" t="s">
        <v>78</v>
      </c>
      <c r="F19" s="8" t="s">
        <v>66</v>
      </c>
      <c r="G19" s="8" t="s">
        <v>52</v>
      </c>
      <c r="H19" s="8" t="s">
        <v>13</v>
      </c>
      <c r="I19" s="8" t="s">
        <v>19</v>
      </c>
      <c r="J19" s="8" t="s">
        <v>21</v>
      </c>
    </row>
    <row r="20" ht="15.75" customHeight="1">
      <c r="A20" s="8" t="s">
        <v>79</v>
      </c>
      <c r="B20" s="9" t="s">
        <v>80</v>
      </c>
      <c r="C20" s="8" t="s">
        <v>27</v>
      </c>
      <c r="D20" s="8" t="str">
        <f> 20.000 &lt; 200.000 (redação conforme publicação oficial)</f>
        <v>#ERROR!</v>
      </c>
      <c r="E20" s="8" t="s">
        <v>81</v>
      </c>
      <c r="F20" s="8" t="s">
        <v>82</v>
      </c>
      <c r="G20" s="8" t="s">
        <v>52</v>
      </c>
      <c r="H20" s="8" t="s">
        <v>13</v>
      </c>
      <c r="I20" s="8" t="s">
        <v>19</v>
      </c>
      <c r="J20" s="8" t="s">
        <v>21</v>
      </c>
    </row>
    <row r="21" ht="15.75" customHeight="1">
      <c r="A21" s="8" t="s">
        <v>83</v>
      </c>
      <c r="B21" s="9" t="s">
        <v>84</v>
      </c>
      <c r="C21" s="8" t="s">
        <v>27</v>
      </c>
      <c r="D21" s="8" t="s">
        <v>34</v>
      </c>
      <c r="E21" s="8" t="s">
        <v>35</v>
      </c>
      <c r="F21" s="8" t="s">
        <v>36</v>
      </c>
      <c r="G21" s="8" t="s">
        <v>31</v>
      </c>
      <c r="H21" s="8" t="s">
        <v>15</v>
      </c>
      <c r="I21" s="8" t="s">
        <v>21</v>
      </c>
      <c r="J21" s="8" t="s">
        <v>23</v>
      </c>
    </row>
    <row r="22" ht="15.75" customHeight="1">
      <c r="A22" s="8" t="s">
        <v>85</v>
      </c>
      <c r="B22" s="9" t="s">
        <v>86</v>
      </c>
      <c r="C22" s="8" t="s">
        <v>27</v>
      </c>
      <c r="D22" s="8" t="s">
        <v>34</v>
      </c>
      <c r="E22" s="8" t="s">
        <v>35</v>
      </c>
      <c r="F22" s="8" t="s">
        <v>36</v>
      </c>
      <c r="G22" s="8" t="s">
        <v>52</v>
      </c>
      <c r="H22" s="8" t="s">
        <v>13</v>
      </c>
      <c r="I22" s="8" t="s">
        <v>19</v>
      </c>
      <c r="J22" s="8" t="s">
        <v>21</v>
      </c>
    </row>
    <row r="23" ht="15.75" customHeight="1">
      <c r="A23" s="8" t="s">
        <v>87</v>
      </c>
      <c r="B23" s="9" t="s">
        <v>88</v>
      </c>
      <c r="C23" s="8" t="s">
        <v>27</v>
      </c>
      <c r="D23" s="8" t="s">
        <v>34</v>
      </c>
      <c r="E23" s="8" t="s">
        <v>35</v>
      </c>
      <c r="F23" s="8" t="s">
        <v>36</v>
      </c>
      <c r="G23" s="8" t="s">
        <v>31</v>
      </c>
      <c r="H23" s="8" t="s">
        <v>15</v>
      </c>
      <c r="I23" s="8" t="s">
        <v>21</v>
      </c>
      <c r="J23" s="8" t="s">
        <v>23</v>
      </c>
    </row>
    <row r="24" ht="15.75" customHeight="1">
      <c r="A24" s="8" t="s">
        <v>89</v>
      </c>
      <c r="B24" s="9" t="s">
        <v>90</v>
      </c>
      <c r="C24" s="8" t="s">
        <v>27</v>
      </c>
      <c r="D24" s="8" t="s">
        <v>91</v>
      </c>
      <c r="E24" s="8" t="s">
        <v>92</v>
      </c>
      <c r="F24" s="8" t="s">
        <v>93</v>
      </c>
      <c r="G24" s="8" t="s">
        <v>31</v>
      </c>
      <c r="H24" s="8" t="s">
        <v>15</v>
      </c>
      <c r="I24" s="8" t="s">
        <v>21</v>
      </c>
      <c r="J24" s="8" t="s">
        <v>23</v>
      </c>
    </row>
    <row r="25" ht="15.75" customHeight="1">
      <c r="A25" s="4"/>
      <c r="B25" s="5"/>
      <c r="C25" s="5"/>
      <c r="D25" s="5"/>
      <c r="E25" s="5"/>
      <c r="F25" s="5"/>
      <c r="G25" s="5"/>
      <c r="H25" s="5"/>
      <c r="I25" s="5"/>
      <c r="J25" s="6"/>
    </row>
    <row r="26" ht="15.75" customHeight="1">
      <c r="A26" s="8"/>
      <c r="B26" s="9"/>
      <c r="C26" s="8"/>
      <c r="D26" s="8"/>
      <c r="E26" s="8"/>
      <c r="F26" s="8"/>
      <c r="G26" s="8"/>
      <c r="H26" s="8"/>
      <c r="I26" s="8"/>
      <c r="J26" s="8"/>
    </row>
    <row r="27" ht="15.75" customHeight="1">
      <c r="A27" s="8"/>
      <c r="B27" s="9"/>
      <c r="C27" s="8"/>
      <c r="D27" s="8"/>
      <c r="E27" s="8"/>
      <c r="F27" s="8"/>
      <c r="G27" s="8"/>
      <c r="H27" s="8"/>
      <c r="I27" s="8"/>
      <c r="J27" s="8"/>
    </row>
    <row r="28" ht="15.75" customHeight="1">
      <c r="A28" s="4"/>
      <c r="B28" s="5"/>
      <c r="C28" s="5"/>
      <c r="D28" s="5"/>
      <c r="E28" s="5"/>
      <c r="F28" s="5"/>
      <c r="G28" s="5"/>
      <c r="H28" s="5"/>
      <c r="I28" s="5"/>
      <c r="J28" s="6"/>
    </row>
    <row r="29" ht="15.75" customHeight="1">
      <c r="A29" s="8"/>
      <c r="B29" s="9"/>
      <c r="C29" s="8"/>
      <c r="D29" s="8"/>
      <c r="E29" s="8"/>
      <c r="F29" s="8"/>
      <c r="G29" s="8"/>
      <c r="H29" s="8"/>
      <c r="I29" s="8"/>
      <c r="J29" s="8"/>
    </row>
    <row r="30" ht="15.75" customHeight="1">
      <c r="A30" s="8"/>
      <c r="B30" s="9"/>
      <c r="C30" s="8"/>
      <c r="D30" s="8"/>
      <c r="E30" s="8"/>
      <c r="F30" s="8"/>
      <c r="G30" s="8"/>
      <c r="H30" s="8"/>
      <c r="I30" s="8"/>
      <c r="J30" s="8"/>
    </row>
    <row r="31" ht="15.75" customHeight="1"/>
    <row r="32" ht="15.75" customHeight="1">
      <c r="A32" s="10"/>
    </row>
    <row r="33" ht="15.75" customHeight="1">
      <c r="A33" s="11"/>
    </row>
    <row r="34" ht="15.75" customHeight="1">
      <c r="A34" s="11"/>
    </row>
    <row r="35" ht="15.75" customHeight="1">
      <c r="A35" s="11"/>
    </row>
    <row r="36" ht="15.75" customHeight="1">
      <c r="A36" s="11"/>
    </row>
    <row r="37" ht="15.75" customHeight="1">
      <c r="A37" s="11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3">
    <mergeCell ref="A28:J28"/>
    <mergeCell ref="A33:J33"/>
    <mergeCell ref="A34:J34"/>
    <mergeCell ref="A35:J35"/>
    <mergeCell ref="A36:J36"/>
    <mergeCell ref="A37:J37"/>
    <mergeCell ref="A2:J2"/>
    <mergeCell ref="A3:J3"/>
    <mergeCell ref="A7:J7"/>
    <mergeCell ref="A9:J9"/>
    <mergeCell ref="A12:J12"/>
    <mergeCell ref="A18:J18"/>
    <mergeCell ref="A25:J2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4" width="16.0"/>
    <col customWidth="1" min="5" max="26" width="8.71"/>
  </cols>
  <sheetData>
    <row r="1">
      <c r="A1" s="1" t="s">
        <v>0</v>
      </c>
      <c r="B1" s="1" t="s">
        <v>2</v>
      </c>
      <c r="C1" s="1" t="s">
        <v>4</v>
      </c>
      <c r="D1" s="1" t="s">
        <v>6</v>
      </c>
    </row>
    <row r="2">
      <c r="A2" s="2" t="s">
        <v>8</v>
      </c>
      <c r="B2" s="3" t="s">
        <v>11</v>
      </c>
      <c r="C2" s="3" t="s">
        <v>13</v>
      </c>
      <c r="D2" s="3" t="s">
        <v>15</v>
      </c>
    </row>
    <row r="3">
      <c r="A3" s="2" t="s">
        <v>17</v>
      </c>
      <c r="B3" s="3" t="s">
        <v>13</v>
      </c>
      <c r="C3" s="3" t="s">
        <v>19</v>
      </c>
      <c r="D3" s="3" t="s">
        <v>21</v>
      </c>
    </row>
    <row r="4">
      <c r="A4" s="2" t="s">
        <v>22</v>
      </c>
      <c r="B4" s="3" t="s">
        <v>15</v>
      </c>
      <c r="C4" s="3" t="s">
        <v>21</v>
      </c>
      <c r="D4" s="3" t="s">
        <v>23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